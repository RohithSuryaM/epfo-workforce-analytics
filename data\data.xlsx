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ural\MSE Programming practice\Dynamic Labor Market Dashboard Project\"/>
    </mc:Choice>
  </mc:AlternateContent>
  <xr:revisionPtr revIDLastSave="0" documentId="13_ncr:1_{84354285-009A-4BC7-8458-276C5B9C52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9" i="2" l="1"/>
  <c r="E49" i="2"/>
  <c r="D49" i="2"/>
  <c r="C49" i="2"/>
  <c r="F48" i="2"/>
  <c r="E48" i="2"/>
  <c r="D48" i="2"/>
  <c r="C48" i="2"/>
  <c r="F47" i="2"/>
  <c r="E47" i="2"/>
  <c r="D47" i="2"/>
  <c r="C47" i="2"/>
  <c r="F46" i="2"/>
  <c r="E46" i="2"/>
  <c r="D46" i="2"/>
  <c r="C46" i="2"/>
  <c r="F45" i="2"/>
  <c r="E45" i="2"/>
  <c r="D45" i="2"/>
  <c r="C45" i="2"/>
  <c r="F44" i="2"/>
  <c r="E44" i="2"/>
  <c r="D44" i="2"/>
  <c r="C44" i="2"/>
</calcChain>
</file>

<file path=xl/sharedStrings.xml><?xml version="1.0" encoding="utf-8"?>
<sst xmlns="http://schemas.openxmlformats.org/spreadsheetml/2006/main" count="102" uniqueCount="20">
  <si>
    <t>Age</t>
  </si>
  <si>
    <t>Number of new EPF subscribers</t>
  </si>
  <si>
    <t>Number of members exited</t>
  </si>
  <si>
    <t>Number of exited members who rejoined and resubscribed</t>
  </si>
  <si>
    <t>Net Payroll</t>
  </si>
  <si>
    <t>Less than 18</t>
  </si>
  <si>
    <t>18-21</t>
  </si>
  <si>
    <t>22-25</t>
  </si>
  <si>
    <t>26-28</t>
  </si>
  <si>
    <t>29-35</t>
  </si>
  <si>
    <t>More than 35</t>
  </si>
  <si>
    <t>2018-19</t>
  </si>
  <si>
    <t>2019-20</t>
  </si>
  <si>
    <t>2020-21</t>
  </si>
  <si>
    <t>2021-22</t>
  </si>
  <si>
    <t>2022-23</t>
  </si>
  <si>
    <t>2023-24</t>
  </si>
  <si>
    <t>Years</t>
  </si>
  <si>
    <t>2017-18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</si>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</sst>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ural\Downloads\Payroll_Data_EPFO_April_2025%20(1).xlsx" TargetMode="External"/><Relationship Id="rId1" Type="http://schemas.openxmlformats.org/officeDocument/2006/relationships/externalLinkPath" Target="/Users/mural/Downloads/Payroll_Data_EPFO_April_2025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yroll upto February,2025"/>
      <sheetName val="MOSPI Format"/>
      <sheetName val="Corrected MOSPI Format"/>
      <sheetName val="explanation"/>
      <sheetName val="Current Period Member Exits"/>
      <sheetName val="Statewise"/>
      <sheetName val="Top10 Industry"/>
      <sheetName val="Genderwise"/>
    </sheetNames>
    <sheetDataSet>
      <sheetData sheetId="0"/>
      <sheetData sheetId="1">
        <row r="75">
          <cell r="B75">
            <v>11846</v>
          </cell>
          <cell r="C75">
            <v>3338</v>
          </cell>
          <cell r="D75">
            <v>1207</v>
          </cell>
          <cell r="E75">
            <v>9715</v>
          </cell>
        </row>
        <row r="76">
          <cell r="B76">
            <v>294251</v>
          </cell>
          <cell r="C76">
            <v>224362</v>
          </cell>
          <cell r="D76">
            <v>173688</v>
          </cell>
          <cell r="E76">
            <v>243577</v>
          </cell>
        </row>
        <row r="77">
          <cell r="B77">
            <v>237443</v>
          </cell>
          <cell r="C77">
            <v>381218</v>
          </cell>
          <cell r="D77">
            <v>396271</v>
          </cell>
          <cell r="E77">
            <v>252496</v>
          </cell>
        </row>
        <row r="78">
          <cell r="B78">
            <v>98520</v>
          </cell>
          <cell r="C78">
            <v>265637</v>
          </cell>
          <cell r="D78">
            <v>305040</v>
          </cell>
          <cell r="E78">
            <v>137923</v>
          </cell>
        </row>
        <row r="79">
          <cell r="B79">
            <v>154500</v>
          </cell>
          <cell r="C79">
            <v>422492</v>
          </cell>
          <cell r="D79">
            <v>494314</v>
          </cell>
          <cell r="E79">
            <v>226322</v>
          </cell>
        </row>
        <row r="80">
          <cell r="B80">
            <v>188347</v>
          </cell>
          <cell r="C80">
            <v>450378</v>
          </cell>
          <cell r="D80">
            <v>492224</v>
          </cell>
          <cell r="E80">
            <v>230193</v>
          </cell>
        </row>
        <row r="85">
          <cell r="B85">
            <v>12454</v>
          </cell>
          <cell r="C85">
            <v>4014</v>
          </cell>
          <cell r="D85">
            <v>1215</v>
          </cell>
          <cell r="E85">
            <v>9655</v>
          </cell>
        </row>
        <row r="86">
          <cell r="B86">
            <v>361759</v>
          </cell>
          <cell r="C86">
            <v>230375</v>
          </cell>
          <cell r="D86">
            <v>195402</v>
          </cell>
          <cell r="E86">
            <v>326786</v>
          </cell>
        </row>
        <row r="87">
          <cell r="B87">
            <v>253091</v>
          </cell>
          <cell r="C87">
            <v>373530</v>
          </cell>
          <cell r="D87">
            <v>404219</v>
          </cell>
          <cell r="E87">
            <v>283780</v>
          </cell>
        </row>
        <row r="88">
          <cell r="B88">
            <v>102069</v>
          </cell>
          <cell r="C88">
            <v>260202</v>
          </cell>
          <cell r="D88">
            <v>301501</v>
          </cell>
          <cell r="E88">
            <v>143368</v>
          </cell>
        </row>
        <row r="89">
          <cell r="B89">
            <v>155366</v>
          </cell>
          <cell r="C89">
            <v>416136</v>
          </cell>
          <cell r="D89">
            <v>459059</v>
          </cell>
          <cell r="E89">
            <v>198289</v>
          </cell>
        </row>
        <row r="90">
          <cell r="B90">
            <v>178359</v>
          </cell>
          <cell r="C90">
            <v>450880</v>
          </cell>
          <cell r="D90">
            <v>417851</v>
          </cell>
          <cell r="E90">
            <v>145330</v>
          </cell>
        </row>
        <row r="95">
          <cell r="B95">
            <v>10097</v>
          </cell>
          <cell r="C95">
            <v>4060</v>
          </cell>
          <cell r="D95">
            <v>1097</v>
          </cell>
          <cell r="E95">
            <v>7134</v>
          </cell>
        </row>
        <row r="96">
          <cell r="B96">
            <v>364090</v>
          </cell>
          <cell r="C96">
            <v>234790</v>
          </cell>
          <cell r="D96">
            <v>181152</v>
          </cell>
          <cell r="E96">
            <v>310452</v>
          </cell>
        </row>
        <row r="97">
          <cell r="B97">
            <v>272042</v>
          </cell>
          <cell r="C97">
            <v>366906</v>
          </cell>
          <cell r="D97">
            <v>388410</v>
          </cell>
          <cell r="E97">
            <v>293546</v>
          </cell>
        </row>
        <row r="98">
          <cell r="B98">
            <v>102699</v>
          </cell>
          <cell r="C98">
            <v>255203</v>
          </cell>
          <cell r="D98">
            <v>294430</v>
          </cell>
          <cell r="E98">
            <v>141926</v>
          </cell>
        </row>
        <row r="99">
          <cell r="B99">
            <v>159881</v>
          </cell>
          <cell r="C99">
            <v>412028</v>
          </cell>
          <cell r="D99">
            <v>456291</v>
          </cell>
          <cell r="E99">
            <v>204144</v>
          </cell>
        </row>
        <row r="100">
          <cell r="B100">
            <v>183051</v>
          </cell>
          <cell r="C100">
            <v>452052</v>
          </cell>
          <cell r="D100">
            <v>409763</v>
          </cell>
          <cell r="E100">
            <v>140762</v>
          </cell>
        </row>
        <row r="105">
          <cell r="B105">
            <v>8559</v>
          </cell>
          <cell r="C105">
            <v>3345</v>
          </cell>
          <cell r="D105">
            <v>1001</v>
          </cell>
          <cell r="E105">
            <v>6215</v>
          </cell>
        </row>
        <row r="106">
          <cell r="B106">
            <v>372941</v>
          </cell>
          <cell r="C106">
            <v>231079</v>
          </cell>
          <cell r="D106">
            <v>181356</v>
          </cell>
          <cell r="E106">
            <v>323218</v>
          </cell>
        </row>
        <row r="107">
          <cell r="B107">
            <v>296285</v>
          </cell>
          <cell r="C107">
            <v>368240</v>
          </cell>
          <cell r="D107">
            <v>400154</v>
          </cell>
          <cell r="E107">
            <v>328199</v>
          </cell>
        </row>
        <row r="108">
          <cell r="B108">
            <v>107428</v>
          </cell>
          <cell r="C108">
            <v>258827</v>
          </cell>
          <cell r="D108">
            <v>309354</v>
          </cell>
          <cell r="E108">
            <v>157955</v>
          </cell>
        </row>
        <row r="109">
          <cell r="B109">
            <v>165699</v>
          </cell>
          <cell r="C109">
            <v>416604</v>
          </cell>
          <cell r="D109">
            <v>486844</v>
          </cell>
          <cell r="E109">
            <v>235939</v>
          </cell>
        </row>
        <row r="110">
          <cell r="B110">
            <v>189561</v>
          </cell>
          <cell r="C110">
            <v>427794</v>
          </cell>
          <cell r="D110">
            <v>443250</v>
          </cell>
          <cell r="E110">
            <v>205017</v>
          </cell>
        </row>
        <row r="115">
          <cell r="B115">
            <v>7211</v>
          </cell>
          <cell r="C115">
            <v>3452</v>
          </cell>
          <cell r="D115">
            <v>868</v>
          </cell>
          <cell r="E115">
            <v>4627</v>
          </cell>
        </row>
        <row r="116">
          <cell r="B116">
            <v>330412</v>
          </cell>
          <cell r="C116">
            <v>241855</v>
          </cell>
          <cell r="D116">
            <v>168600</v>
          </cell>
          <cell r="E116">
            <v>257157</v>
          </cell>
        </row>
        <row r="117">
          <cell r="B117">
            <v>258861</v>
          </cell>
          <cell r="C117">
            <v>360542</v>
          </cell>
          <cell r="D117">
            <v>365497</v>
          </cell>
          <cell r="E117">
            <v>263816</v>
          </cell>
        </row>
        <row r="118">
          <cell r="B118">
            <v>95081</v>
          </cell>
          <cell r="C118">
            <v>248950</v>
          </cell>
          <cell r="D118">
            <v>285609</v>
          </cell>
          <cell r="E118">
            <v>131740</v>
          </cell>
        </row>
        <row r="119">
          <cell r="B119">
            <v>146626</v>
          </cell>
          <cell r="C119">
            <v>392669</v>
          </cell>
          <cell r="D119">
            <v>450627</v>
          </cell>
          <cell r="E119">
            <v>204584</v>
          </cell>
        </row>
        <row r="120">
          <cell r="B120">
            <v>169687</v>
          </cell>
          <cell r="C120">
            <v>398016</v>
          </cell>
          <cell r="D120">
            <v>404186</v>
          </cell>
          <cell r="E120">
            <v>175857</v>
          </cell>
        </row>
        <row r="125">
          <cell r="B125">
            <v>6761</v>
          </cell>
          <cell r="C125">
            <v>3672</v>
          </cell>
          <cell r="D125">
            <v>893</v>
          </cell>
          <cell r="E125">
            <v>3982</v>
          </cell>
        </row>
        <row r="126">
          <cell r="B126">
            <v>343512</v>
          </cell>
          <cell r="C126">
            <v>255863</v>
          </cell>
          <cell r="D126">
            <v>177479</v>
          </cell>
          <cell r="E126">
            <v>265128</v>
          </cell>
        </row>
        <row r="127">
          <cell r="B127">
            <v>260625</v>
          </cell>
          <cell r="C127">
            <v>359539</v>
          </cell>
          <cell r="D127">
            <v>378071</v>
          </cell>
          <cell r="E127">
            <v>279157</v>
          </cell>
        </row>
        <row r="128">
          <cell r="B128">
            <v>96478</v>
          </cell>
          <cell r="C128">
            <v>250670</v>
          </cell>
          <cell r="D128">
            <v>292274</v>
          </cell>
          <cell r="E128">
            <v>138082</v>
          </cell>
        </row>
        <row r="129">
          <cell r="B129">
            <v>144905</v>
          </cell>
          <cell r="C129">
            <v>405191</v>
          </cell>
          <cell r="D129">
            <v>455659</v>
          </cell>
          <cell r="E129">
            <v>195373</v>
          </cell>
        </row>
        <row r="130">
          <cell r="B130">
            <v>164620</v>
          </cell>
          <cell r="C130">
            <v>415319</v>
          </cell>
          <cell r="D130">
            <v>400886</v>
          </cell>
          <cell r="E130">
            <v>150187</v>
          </cell>
        </row>
        <row r="135">
          <cell r="B135">
            <v>5202</v>
          </cell>
          <cell r="C135">
            <v>4273</v>
          </cell>
          <cell r="D135">
            <v>639</v>
          </cell>
          <cell r="E135">
            <v>1568</v>
          </cell>
        </row>
        <row r="136">
          <cell r="B136">
            <v>254482</v>
          </cell>
          <cell r="C136">
            <v>286368</v>
          </cell>
          <cell r="D136">
            <v>134103</v>
          </cell>
          <cell r="E136">
            <v>102217</v>
          </cell>
        </row>
        <row r="137">
          <cell r="B137">
            <v>211911</v>
          </cell>
          <cell r="C137">
            <v>377716</v>
          </cell>
          <cell r="D137">
            <v>316671</v>
          </cell>
          <cell r="E137">
            <v>150866</v>
          </cell>
        </row>
        <row r="138">
          <cell r="B138">
            <v>79504</v>
          </cell>
          <cell r="C138">
            <v>256968</v>
          </cell>
          <cell r="D138">
            <v>255976</v>
          </cell>
          <cell r="E138">
            <v>78512</v>
          </cell>
        </row>
        <row r="139">
          <cell r="B139">
            <v>120485</v>
          </cell>
          <cell r="C139">
            <v>403559</v>
          </cell>
          <cell r="D139">
            <v>411132</v>
          </cell>
          <cell r="E139">
            <v>128058</v>
          </cell>
        </row>
        <row r="140">
          <cell r="B140">
            <v>138782</v>
          </cell>
          <cell r="C140">
            <v>406802</v>
          </cell>
          <cell r="D140">
            <v>379903</v>
          </cell>
          <cell r="E140">
            <v>111883</v>
          </cell>
        </row>
        <row r="145">
          <cell r="B145">
            <v>7520</v>
          </cell>
          <cell r="C145">
            <v>4177</v>
          </cell>
          <cell r="D145">
            <v>1011</v>
          </cell>
          <cell r="E145">
            <v>4354</v>
          </cell>
        </row>
        <row r="146">
          <cell r="B146">
            <v>287449</v>
          </cell>
          <cell r="C146">
            <v>262369</v>
          </cell>
          <cell r="D146">
            <v>171110</v>
          </cell>
          <cell r="E146">
            <v>196190</v>
          </cell>
        </row>
        <row r="147">
          <cell r="B147">
            <v>219263</v>
          </cell>
          <cell r="C147">
            <v>357177</v>
          </cell>
          <cell r="D147">
            <v>347077</v>
          </cell>
          <cell r="E147">
            <v>209163</v>
          </cell>
        </row>
        <row r="148">
          <cell r="B148">
            <v>85601</v>
          </cell>
          <cell r="C148">
            <v>240799</v>
          </cell>
          <cell r="D148">
            <v>269338</v>
          </cell>
          <cell r="E148">
            <v>114140</v>
          </cell>
        </row>
        <row r="149">
          <cell r="B149">
            <v>134692</v>
          </cell>
          <cell r="C149">
            <v>378104</v>
          </cell>
          <cell r="D149">
            <v>429082</v>
          </cell>
          <cell r="E149">
            <v>185670</v>
          </cell>
        </row>
        <row r="150">
          <cell r="B150">
            <v>199667</v>
          </cell>
          <cell r="C150">
            <v>379918</v>
          </cell>
          <cell r="D150">
            <v>396881</v>
          </cell>
          <cell r="E150">
            <v>216630</v>
          </cell>
        </row>
        <row r="155">
          <cell r="B155">
            <v>7285</v>
          </cell>
          <cell r="C155">
            <v>2859</v>
          </cell>
          <cell r="D155">
            <v>1027</v>
          </cell>
          <cell r="E155">
            <v>5453</v>
          </cell>
        </row>
        <row r="156">
          <cell r="B156">
            <v>287583</v>
          </cell>
          <cell r="C156">
            <v>191497</v>
          </cell>
          <cell r="D156">
            <v>173881</v>
          </cell>
          <cell r="E156">
            <v>269967</v>
          </cell>
        </row>
        <row r="157">
          <cell r="B157">
            <v>222106</v>
          </cell>
          <cell r="C157">
            <v>297246</v>
          </cell>
          <cell r="D157">
            <v>351752</v>
          </cell>
          <cell r="E157">
            <v>276612</v>
          </cell>
        </row>
        <row r="158">
          <cell r="B158">
            <v>86138</v>
          </cell>
          <cell r="C158">
            <v>206174</v>
          </cell>
          <cell r="D158">
            <v>272526</v>
          </cell>
          <cell r="E158">
            <v>152490</v>
          </cell>
        </row>
        <row r="159">
          <cell r="B159">
            <v>133822</v>
          </cell>
          <cell r="C159">
            <v>332280</v>
          </cell>
          <cell r="D159">
            <v>430684</v>
          </cell>
          <cell r="E159">
            <v>232226</v>
          </cell>
        </row>
        <row r="160">
          <cell r="B160">
            <v>160172</v>
          </cell>
          <cell r="C160">
            <v>360239</v>
          </cell>
          <cell r="D160">
            <v>393170</v>
          </cell>
          <cell r="E160">
            <v>193103</v>
          </cell>
        </row>
        <row r="165">
          <cell r="B165">
            <v>5715</v>
          </cell>
          <cell r="C165">
            <v>1680</v>
          </cell>
          <cell r="D165">
            <v>833</v>
          </cell>
          <cell r="E165">
            <v>4868</v>
          </cell>
        </row>
        <row r="166">
          <cell r="B166">
            <v>268593</v>
          </cell>
          <cell r="C166">
            <v>132473</v>
          </cell>
          <cell r="D166">
            <v>150476</v>
          </cell>
          <cell r="E166">
            <v>286596</v>
          </cell>
        </row>
        <row r="167">
          <cell r="B167">
            <v>217509</v>
          </cell>
          <cell r="C167">
            <v>229483</v>
          </cell>
          <cell r="D167">
            <v>346481</v>
          </cell>
          <cell r="E167">
            <v>334507</v>
          </cell>
        </row>
        <row r="168">
          <cell r="B168">
            <v>83105</v>
          </cell>
          <cell r="C168">
            <v>159009</v>
          </cell>
          <cell r="D168">
            <v>275083</v>
          </cell>
          <cell r="E168">
            <v>199179</v>
          </cell>
        </row>
        <row r="169">
          <cell r="B169">
            <v>127771</v>
          </cell>
          <cell r="C169">
            <v>243096</v>
          </cell>
          <cell r="D169">
            <v>439815</v>
          </cell>
          <cell r="E169">
            <v>324490</v>
          </cell>
        </row>
        <row r="170">
          <cell r="B170">
            <v>153324</v>
          </cell>
          <cell r="C170">
            <v>237559</v>
          </cell>
          <cell r="D170">
            <v>401407</v>
          </cell>
          <cell r="E170">
            <v>317172</v>
          </cell>
        </row>
        <row r="175">
          <cell r="B175">
            <v>5135</v>
          </cell>
          <cell r="C175">
            <v>809</v>
          </cell>
          <cell r="D175">
            <v>636</v>
          </cell>
          <cell r="E175">
            <v>4962</v>
          </cell>
        </row>
        <row r="176">
          <cell r="B176">
            <v>235097</v>
          </cell>
          <cell r="C176">
            <v>54769</v>
          </cell>
          <cell r="D176">
            <v>123262</v>
          </cell>
          <cell r="E176">
            <v>303590</v>
          </cell>
        </row>
        <row r="177">
          <cell r="B177">
            <v>191621</v>
          </cell>
          <cell r="C177">
            <v>101601</v>
          </cell>
          <cell r="D177">
            <v>284547</v>
          </cell>
          <cell r="E177">
            <v>374567</v>
          </cell>
        </row>
        <row r="178">
          <cell r="B178">
            <v>70533</v>
          </cell>
          <cell r="C178">
            <v>71594</v>
          </cell>
          <cell r="D178">
            <v>223375</v>
          </cell>
          <cell r="E178">
            <v>222314</v>
          </cell>
        </row>
        <row r="179">
          <cell r="B179">
            <v>108511</v>
          </cell>
          <cell r="C179">
            <v>109946</v>
          </cell>
          <cell r="D179">
            <v>358322</v>
          </cell>
          <cell r="E179">
            <v>356887</v>
          </cell>
        </row>
        <row r="180">
          <cell r="B180">
            <v>128504</v>
          </cell>
          <cell r="C180">
            <v>109062</v>
          </cell>
          <cell r="D180">
            <v>327897</v>
          </cell>
          <cell r="E180">
            <v>347339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75474-F926-4EB6-B527-CAA8A5E46F9B}">
  <dimension ref="A1:F49"/>
  <sheetViews>
    <sheetView tabSelected="1" workbookViewId="0">
      <selection activeCell="J44" sqref="J44"/>
    </sheetView>
  </sheetViews>
  <sheetFormatPr defaultRowHeight="14.4" x14ac:dyDescent="0.3"/>
  <cols>
    <col min="1" max="1" width="7.6640625" bestFit="1" customWidth="1"/>
    <col min="2" max="2" width="12" bestFit="1" customWidth="1"/>
    <col min="3" max="3" width="29.77734375" bestFit="1" customWidth="1"/>
    <col min="4" max="4" width="24.77734375" bestFit="1" customWidth="1"/>
    <col min="5" max="5" width="53.109375" bestFit="1" customWidth="1"/>
    <col min="6" max="6" width="10.5546875" bestFit="1" customWidth="1"/>
  </cols>
  <sheetData>
    <row r="1" spans="1:6" x14ac:dyDescent="0.3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2" t="s">
        <v>18</v>
      </c>
      <c r="B2" t="s">
        <v>5</v>
      </c>
      <c r="C2" s="3">
        <v>56945</v>
      </c>
      <c r="D2" s="3">
        <v>15835</v>
      </c>
      <c r="E2" s="3">
        <v>512</v>
      </c>
      <c r="F2" s="3">
        <v>41622</v>
      </c>
    </row>
    <row r="3" spans="1:6" x14ac:dyDescent="0.3">
      <c r="A3" s="2" t="s">
        <v>18</v>
      </c>
      <c r="B3" t="s">
        <v>6</v>
      </c>
      <c r="C3" s="3">
        <v>1956512</v>
      </c>
      <c r="D3" s="3">
        <v>1057787</v>
      </c>
      <c r="E3" s="3">
        <v>62051</v>
      </c>
      <c r="F3" s="3">
        <v>960776</v>
      </c>
    </row>
    <row r="4" spans="1:6" x14ac:dyDescent="0.3">
      <c r="A4" s="2" t="s">
        <v>18</v>
      </c>
      <c r="B4" t="s">
        <v>7</v>
      </c>
      <c r="C4" s="3">
        <v>2273547</v>
      </c>
      <c r="D4" s="3">
        <v>1897129</v>
      </c>
      <c r="E4" s="3">
        <v>182599</v>
      </c>
      <c r="F4" s="3">
        <v>559017</v>
      </c>
    </row>
    <row r="5" spans="1:6" x14ac:dyDescent="0.3">
      <c r="A5" s="2" t="s">
        <v>18</v>
      </c>
      <c r="B5" t="s">
        <v>8</v>
      </c>
      <c r="C5" s="3">
        <v>1107156</v>
      </c>
      <c r="D5" s="3">
        <v>1218735</v>
      </c>
      <c r="E5" s="3">
        <v>161831</v>
      </c>
      <c r="F5" s="3">
        <v>50252</v>
      </c>
    </row>
    <row r="6" spans="1:6" x14ac:dyDescent="0.3">
      <c r="A6" s="2" t="s">
        <v>18</v>
      </c>
      <c r="B6" t="s">
        <v>9</v>
      </c>
      <c r="C6" s="3">
        <v>1523720</v>
      </c>
      <c r="D6" s="3">
        <v>1728655</v>
      </c>
      <c r="E6" s="3">
        <v>235215</v>
      </c>
      <c r="F6" s="3">
        <v>30280</v>
      </c>
    </row>
    <row r="7" spans="1:6" x14ac:dyDescent="0.3">
      <c r="A7" s="2" t="s">
        <v>18</v>
      </c>
      <c r="B7" t="s">
        <v>10</v>
      </c>
      <c r="C7" s="3">
        <v>1539524</v>
      </c>
      <c r="D7" s="3">
        <v>1809648</v>
      </c>
      <c r="E7" s="3">
        <v>181117</v>
      </c>
      <c r="F7" s="3">
        <v>-89007</v>
      </c>
    </row>
    <row r="8" spans="1:6" x14ac:dyDescent="0.3">
      <c r="A8" t="s">
        <v>11</v>
      </c>
      <c r="B8" t="s">
        <v>5</v>
      </c>
      <c r="C8" s="3">
        <v>119121</v>
      </c>
      <c r="D8" s="3">
        <v>30082</v>
      </c>
      <c r="E8" s="3">
        <v>6037</v>
      </c>
      <c r="F8" s="3">
        <v>95076</v>
      </c>
    </row>
    <row r="9" spans="1:6" x14ac:dyDescent="0.3">
      <c r="A9" t="s">
        <v>11</v>
      </c>
      <c r="B9" t="s">
        <v>6</v>
      </c>
      <c r="C9" s="3">
        <v>3466827</v>
      </c>
      <c r="D9" s="3">
        <v>1652918</v>
      </c>
      <c r="E9" s="3">
        <v>529089</v>
      </c>
      <c r="F9" s="3">
        <v>2342998</v>
      </c>
    </row>
    <row r="10" spans="1:6" x14ac:dyDescent="0.3">
      <c r="A10" t="s">
        <v>11</v>
      </c>
      <c r="B10" t="s">
        <v>7</v>
      </c>
      <c r="C10" s="3">
        <v>3639959</v>
      </c>
      <c r="D10" s="3">
        <v>2992679</v>
      </c>
      <c r="E10" s="3">
        <v>1124427</v>
      </c>
      <c r="F10" s="3">
        <v>1771707</v>
      </c>
    </row>
    <row r="11" spans="1:6" x14ac:dyDescent="0.3">
      <c r="A11" t="s">
        <v>11</v>
      </c>
      <c r="B11" t="s">
        <v>8</v>
      </c>
      <c r="C11" s="3">
        <v>1740667</v>
      </c>
      <c r="D11" s="3">
        <v>1976489</v>
      </c>
      <c r="E11" s="3">
        <v>814578</v>
      </c>
      <c r="F11" s="3">
        <v>578756</v>
      </c>
    </row>
    <row r="12" spans="1:6" x14ac:dyDescent="0.3">
      <c r="A12" t="s">
        <v>11</v>
      </c>
      <c r="B12" t="s">
        <v>9</v>
      </c>
      <c r="C12" s="3">
        <v>2445396</v>
      </c>
      <c r="D12" s="3">
        <v>2793393</v>
      </c>
      <c r="E12" s="3">
        <v>1112743</v>
      </c>
      <c r="F12" s="3">
        <v>764746</v>
      </c>
    </row>
    <row r="13" spans="1:6" x14ac:dyDescent="0.3">
      <c r="A13" t="s">
        <v>11</v>
      </c>
      <c r="B13" t="s">
        <v>10</v>
      </c>
      <c r="C13" s="3">
        <v>2532379</v>
      </c>
      <c r="D13" s="3">
        <v>2851380</v>
      </c>
      <c r="E13" s="3">
        <v>877941</v>
      </c>
      <c r="F13" s="3">
        <v>558940</v>
      </c>
    </row>
    <row r="14" spans="1:6" x14ac:dyDescent="0.3">
      <c r="A14" t="s">
        <v>12</v>
      </c>
      <c r="B14" t="s">
        <v>5</v>
      </c>
      <c r="C14" s="3">
        <v>102287</v>
      </c>
      <c r="D14" s="3">
        <v>27335</v>
      </c>
      <c r="E14" s="3">
        <v>13598</v>
      </c>
      <c r="F14" s="3">
        <v>88550</v>
      </c>
    </row>
    <row r="15" spans="1:6" x14ac:dyDescent="0.3">
      <c r="A15" t="s">
        <v>12</v>
      </c>
      <c r="B15" t="s">
        <v>6</v>
      </c>
      <c r="C15" s="3">
        <v>2946216</v>
      </c>
      <c r="D15" s="3">
        <v>1429927</v>
      </c>
      <c r="E15" s="3">
        <v>1023309</v>
      </c>
      <c r="F15" s="3">
        <v>2539598</v>
      </c>
    </row>
    <row r="16" spans="1:6" x14ac:dyDescent="0.3">
      <c r="A16" t="s">
        <v>12</v>
      </c>
      <c r="B16" t="s">
        <v>7</v>
      </c>
      <c r="C16" s="3">
        <v>2872450</v>
      </c>
      <c r="D16" s="3">
        <v>2676071</v>
      </c>
      <c r="E16" s="3">
        <v>2000547</v>
      </c>
      <c r="F16" s="3">
        <v>2196926</v>
      </c>
    </row>
    <row r="17" spans="1:6" x14ac:dyDescent="0.3">
      <c r="A17" t="s">
        <v>12</v>
      </c>
      <c r="B17" t="s">
        <v>8</v>
      </c>
      <c r="C17" s="3">
        <v>1282625</v>
      </c>
      <c r="D17" s="3">
        <v>1753635</v>
      </c>
      <c r="E17" s="3">
        <v>1353831</v>
      </c>
      <c r="F17" s="3">
        <v>882821</v>
      </c>
    </row>
    <row r="18" spans="1:6" x14ac:dyDescent="0.3">
      <c r="A18" t="s">
        <v>12</v>
      </c>
      <c r="B18" t="s">
        <v>9</v>
      </c>
      <c r="C18" s="3">
        <v>1873929</v>
      </c>
      <c r="D18" s="3">
        <v>2562761</v>
      </c>
      <c r="E18" s="3">
        <v>1879519</v>
      </c>
      <c r="F18" s="3">
        <v>1190687</v>
      </c>
    </row>
    <row r="19" spans="1:6" x14ac:dyDescent="0.3">
      <c r="A19" t="s">
        <v>12</v>
      </c>
      <c r="B19" t="s">
        <v>10</v>
      </c>
      <c r="C19" s="3">
        <v>1963176</v>
      </c>
      <c r="D19" s="3">
        <v>2547185</v>
      </c>
      <c r="E19" s="3">
        <v>1543821</v>
      </c>
      <c r="F19" s="3">
        <v>959812</v>
      </c>
    </row>
    <row r="20" spans="1:6" x14ac:dyDescent="0.3">
      <c r="A20" t="s">
        <v>13</v>
      </c>
      <c r="B20" t="s">
        <v>5</v>
      </c>
      <c r="C20" s="3">
        <v>83347</v>
      </c>
      <c r="D20" s="3">
        <v>18717</v>
      </c>
      <c r="E20" s="3">
        <v>7071</v>
      </c>
      <c r="F20" s="3">
        <v>71701</v>
      </c>
    </row>
    <row r="21" spans="1:6" x14ac:dyDescent="0.3">
      <c r="A21" t="s">
        <v>13</v>
      </c>
      <c r="B21" t="s">
        <v>6</v>
      </c>
      <c r="C21" s="3">
        <v>2309151</v>
      </c>
      <c r="D21" s="3">
        <v>1050990</v>
      </c>
      <c r="E21" s="3">
        <v>886223</v>
      </c>
      <c r="F21" s="3">
        <v>2144384</v>
      </c>
    </row>
    <row r="22" spans="1:6" x14ac:dyDescent="0.3">
      <c r="A22" t="s">
        <v>13</v>
      </c>
      <c r="B22" t="s">
        <v>7</v>
      </c>
      <c r="C22" s="3">
        <v>2090123</v>
      </c>
      <c r="D22" s="3">
        <v>2215865</v>
      </c>
      <c r="E22" s="3">
        <v>2229908</v>
      </c>
      <c r="F22" s="3">
        <v>2104166</v>
      </c>
    </row>
    <row r="23" spans="1:6" x14ac:dyDescent="0.3">
      <c r="A23" t="s">
        <v>13</v>
      </c>
      <c r="B23" t="s">
        <v>8</v>
      </c>
      <c r="C23" s="3">
        <v>908664</v>
      </c>
      <c r="D23" s="3">
        <v>1505811</v>
      </c>
      <c r="E23" s="3">
        <v>1535510</v>
      </c>
      <c r="F23" s="3">
        <v>938363</v>
      </c>
    </row>
    <row r="24" spans="1:6" x14ac:dyDescent="0.3">
      <c r="A24" t="s">
        <v>13</v>
      </c>
      <c r="B24" t="s">
        <v>9</v>
      </c>
      <c r="C24" s="3">
        <v>1434322</v>
      </c>
      <c r="D24" s="3">
        <v>2342131</v>
      </c>
      <c r="E24" s="3">
        <v>2237100</v>
      </c>
      <c r="F24" s="3">
        <v>1329291</v>
      </c>
    </row>
    <row r="25" spans="1:6" x14ac:dyDescent="0.3">
      <c r="A25" t="s">
        <v>13</v>
      </c>
      <c r="B25" t="s">
        <v>10</v>
      </c>
      <c r="C25" s="3">
        <v>1723291</v>
      </c>
      <c r="D25" s="3">
        <v>2649523</v>
      </c>
      <c r="E25" s="3">
        <v>2046702</v>
      </c>
      <c r="F25" s="3">
        <v>1120470</v>
      </c>
    </row>
    <row r="26" spans="1:6" x14ac:dyDescent="0.3">
      <c r="A26" t="s">
        <v>14</v>
      </c>
      <c r="B26" t="s">
        <v>5</v>
      </c>
      <c r="C26" s="3">
        <v>89352</v>
      </c>
      <c r="D26" s="3">
        <v>22329</v>
      </c>
      <c r="E26" s="3">
        <v>8638</v>
      </c>
      <c r="F26" s="3">
        <v>75661</v>
      </c>
    </row>
    <row r="27" spans="1:6" x14ac:dyDescent="0.3">
      <c r="A27" t="s">
        <v>14</v>
      </c>
      <c r="B27" t="s">
        <v>6</v>
      </c>
      <c r="C27" s="3">
        <v>3098062</v>
      </c>
      <c r="D27" s="3">
        <v>1294808</v>
      </c>
      <c r="E27" s="3">
        <v>1151462</v>
      </c>
      <c r="F27" s="3">
        <v>2954716</v>
      </c>
    </row>
    <row r="28" spans="1:6" x14ac:dyDescent="0.3">
      <c r="A28" t="s">
        <v>14</v>
      </c>
      <c r="B28" t="s">
        <v>7</v>
      </c>
      <c r="C28" s="3">
        <v>2929491</v>
      </c>
      <c r="D28" s="3">
        <v>2771213</v>
      </c>
      <c r="E28" s="3">
        <v>3259611</v>
      </c>
      <c r="F28" s="3">
        <v>3417889</v>
      </c>
    </row>
    <row r="29" spans="1:6" x14ac:dyDescent="0.3">
      <c r="A29" t="s">
        <v>14</v>
      </c>
      <c r="B29" t="s">
        <v>8</v>
      </c>
      <c r="C29" s="3">
        <v>1185764</v>
      </c>
      <c r="D29" s="3">
        <v>1961274</v>
      </c>
      <c r="E29" s="3">
        <v>2436661</v>
      </c>
      <c r="F29" s="3">
        <v>1661151</v>
      </c>
    </row>
    <row r="30" spans="1:6" x14ac:dyDescent="0.3">
      <c r="A30" t="s">
        <v>14</v>
      </c>
      <c r="B30" t="s">
        <v>9</v>
      </c>
      <c r="C30" s="3">
        <v>1716347</v>
      </c>
      <c r="D30" s="3">
        <v>2973940</v>
      </c>
      <c r="E30" s="3">
        <v>3546576</v>
      </c>
      <c r="F30" s="3">
        <v>2288983</v>
      </c>
    </row>
    <row r="31" spans="1:6" x14ac:dyDescent="0.3">
      <c r="A31" t="s">
        <v>14</v>
      </c>
      <c r="B31" t="s">
        <v>10</v>
      </c>
      <c r="C31" s="3">
        <v>1846047</v>
      </c>
      <c r="D31" s="3">
        <v>2968188</v>
      </c>
      <c r="E31" s="3">
        <v>2958366</v>
      </c>
      <c r="F31" s="3">
        <v>1836225</v>
      </c>
    </row>
    <row r="32" spans="1:6" x14ac:dyDescent="0.3">
      <c r="A32" t="s">
        <v>15</v>
      </c>
      <c r="B32" t="s">
        <v>5</v>
      </c>
      <c r="C32" s="3">
        <v>88502</v>
      </c>
      <c r="D32" s="3">
        <v>19097</v>
      </c>
      <c r="E32" s="3">
        <v>8165</v>
      </c>
      <c r="F32" s="3">
        <v>77570</v>
      </c>
    </row>
    <row r="33" spans="1:6" x14ac:dyDescent="0.3">
      <c r="A33" t="s">
        <v>15</v>
      </c>
      <c r="B33" t="s">
        <v>6</v>
      </c>
      <c r="C33" s="3">
        <v>3378853</v>
      </c>
      <c r="D33" s="3">
        <v>1450388</v>
      </c>
      <c r="E33" s="3">
        <v>1297462</v>
      </c>
      <c r="F33" s="3">
        <v>3225927</v>
      </c>
    </row>
    <row r="34" spans="1:6" x14ac:dyDescent="0.3">
      <c r="A34" t="s">
        <v>15</v>
      </c>
      <c r="B34" t="s">
        <v>7</v>
      </c>
      <c r="C34" s="3">
        <v>3030667</v>
      </c>
      <c r="D34" s="3">
        <v>3105413</v>
      </c>
      <c r="E34" s="3">
        <v>3699594</v>
      </c>
      <c r="F34" s="3">
        <v>3624848</v>
      </c>
    </row>
    <row r="35" spans="1:6" x14ac:dyDescent="0.3">
      <c r="A35" t="s">
        <v>15</v>
      </c>
      <c r="B35" t="s">
        <v>8</v>
      </c>
      <c r="C35" s="3">
        <v>1235912</v>
      </c>
      <c r="D35" s="3">
        <v>2192373</v>
      </c>
      <c r="E35" s="3">
        <v>2818617</v>
      </c>
      <c r="F35" s="3">
        <v>1862156</v>
      </c>
    </row>
    <row r="36" spans="1:6" x14ac:dyDescent="0.3">
      <c r="A36" t="s">
        <v>15</v>
      </c>
      <c r="B36" t="s">
        <v>9</v>
      </c>
      <c r="C36" s="3">
        <v>1799356</v>
      </c>
      <c r="D36" s="3">
        <v>3378284</v>
      </c>
      <c r="E36" s="3">
        <v>4250622</v>
      </c>
      <c r="F36" s="3">
        <v>2671694</v>
      </c>
    </row>
    <row r="37" spans="1:6" x14ac:dyDescent="0.3">
      <c r="A37" t="s">
        <v>15</v>
      </c>
      <c r="B37" t="s">
        <v>10</v>
      </c>
      <c r="C37" s="3">
        <v>1965163</v>
      </c>
      <c r="D37" s="3">
        <v>3221708</v>
      </c>
      <c r="E37" s="3">
        <v>3646039</v>
      </c>
      <c r="F37" s="3">
        <v>2389494</v>
      </c>
    </row>
    <row r="38" spans="1:6" x14ac:dyDescent="0.3">
      <c r="A38" t="s">
        <v>16</v>
      </c>
      <c r="B38" t="s">
        <v>5</v>
      </c>
      <c r="C38" s="3">
        <v>90670</v>
      </c>
      <c r="D38" s="3">
        <v>22738</v>
      </c>
      <c r="E38" s="3">
        <v>8882</v>
      </c>
      <c r="F38" s="3">
        <v>76814</v>
      </c>
    </row>
    <row r="39" spans="1:6" x14ac:dyDescent="0.3">
      <c r="A39" t="s">
        <v>16</v>
      </c>
      <c r="B39" t="s">
        <v>6</v>
      </c>
      <c r="C39" s="3">
        <v>3440358</v>
      </c>
      <c r="D39" s="3">
        <v>1749919</v>
      </c>
      <c r="E39" s="3">
        <v>1548338</v>
      </c>
      <c r="F39" s="3">
        <v>3238777</v>
      </c>
    </row>
    <row r="40" spans="1:6" x14ac:dyDescent="0.3">
      <c r="A40" t="s">
        <v>16</v>
      </c>
      <c r="B40" t="s">
        <v>7</v>
      </c>
      <c r="C40" s="3">
        <v>2771403</v>
      </c>
      <c r="D40" s="3">
        <v>3317411</v>
      </c>
      <c r="E40" s="3">
        <v>3835654</v>
      </c>
      <c r="F40" s="3">
        <v>3289646</v>
      </c>
    </row>
    <row r="41" spans="1:6" x14ac:dyDescent="0.3">
      <c r="A41" t="s">
        <v>16</v>
      </c>
      <c r="B41" t="s">
        <v>8</v>
      </c>
      <c r="C41" s="3">
        <v>1113174</v>
      </c>
      <c r="D41" s="3">
        <v>2349526</v>
      </c>
      <c r="E41" s="3">
        <v>2965076</v>
      </c>
      <c r="F41" s="3">
        <v>1728724</v>
      </c>
    </row>
    <row r="42" spans="1:6" x14ac:dyDescent="0.3">
      <c r="A42" t="s">
        <v>16</v>
      </c>
      <c r="B42" t="s">
        <v>9</v>
      </c>
      <c r="C42" s="3">
        <v>1674339</v>
      </c>
      <c r="D42" s="3">
        <v>3727052</v>
      </c>
      <c r="E42" s="3">
        <v>4607863</v>
      </c>
      <c r="F42" s="3">
        <v>2555150</v>
      </c>
    </row>
    <row r="43" spans="1:6" x14ac:dyDescent="0.3">
      <c r="A43" t="s">
        <v>16</v>
      </c>
      <c r="B43" t="s">
        <v>10</v>
      </c>
      <c r="C43" s="3">
        <v>1903175</v>
      </c>
      <c r="D43" s="3">
        <v>3821479</v>
      </c>
      <c r="E43" s="3">
        <v>4177397</v>
      </c>
      <c r="F43" s="3">
        <v>2259093</v>
      </c>
    </row>
    <row r="44" spans="1:6" x14ac:dyDescent="0.3">
      <c r="A44" s="2" t="s">
        <v>19</v>
      </c>
      <c r="B44" t="s">
        <v>5</v>
      </c>
      <c r="C44" s="4">
        <f>AVERAGE('[1]MOSPI Format'!B75,'[1]MOSPI Format'!B85,'[1]MOSPI Format'!B95,'[1]MOSPI Format'!B105,'[1]MOSPI Format'!B115,'[1]MOSPI Format'!B125,'[1]MOSPI Format'!B135,'[1]MOSPI Format'!B145,'[1]MOSPI Format'!B155,'[1]MOSPI Format'!B165,'[1]MOSPI Format'!B175)</f>
        <v>7980.454545454545</v>
      </c>
      <c r="D44" s="4">
        <f>AVERAGE('[1]MOSPI Format'!C75,'[1]MOSPI Format'!C85,'[1]MOSPI Format'!C95,'[1]MOSPI Format'!C105,'[1]MOSPI Format'!C115,'[1]MOSPI Format'!C125,'[1]MOSPI Format'!C135,'[1]MOSPI Format'!C145,'[1]MOSPI Format'!C155,'[1]MOSPI Format'!C165,'[1]MOSPI Format'!C175)</f>
        <v>3243.5454545454545</v>
      </c>
      <c r="E44" s="4">
        <f>AVERAGE('[1]MOSPI Format'!D75,'[1]MOSPI Format'!D85,'[1]MOSPI Format'!D95,'[1]MOSPI Format'!D105,'[1]MOSPI Format'!D115,'[1]MOSPI Format'!D125,'[1]MOSPI Format'!D135,'[1]MOSPI Format'!D145,'[1]MOSPI Format'!D155,'[1]MOSPI Format'!D165,'[1]MOSPI Format'!D175)</f>
        <v>947.90909090909088</v>
      </c>
      <c r="F44" s="4">
        <f>AVERAGE('[1]MOSPI Format'!E75,'[1]MOSPI Format'!E85,'[1]MOSPI Format'!E95,'[1]MOSPI Format'!E105,'[1]MOSPI Format'!E115,'[1]MOSPI Format'!E125,'[1]MOSPI Format'!E135,'[1]MOSPI Format'!E145,'[1]MOSPI Format'!E155,'[1]MOSPI Format'!E165,'[1]MOSPI Format'!E175)</f>
        <v>5684.818181818182</v>
      </c>
    </row>
    <row r="45" spans="1:6" x14ac:dyDescent="0.3">
      <c r="A45" s="2" t="s">
        <v>19</v>
      </c>
      <c r="B45" t="s">
        <v>6</v>
      </c>
      <c r="C45" s="4">
        <f>AVERAGE('[1]MOSPI Format'!B76,'[1]MOSPI Format'!B86,'[1]MOSPI Format'!B96,'[1]MOSPI Format'!B106,'[1]MOSPI Format'!B116,'[1]MOSPI Format'!B126,'[1]MOSPI Format'!B136,'[1]MOSPI Format'!B146,'[1]MOSPI Format'!B156,'[1]MOSPI Format'!B166,'[1]MOSPI Format'!B176)</f>
        <v>309106.27272727271</v>
      </c>
      <c r="D45" s="4">
        <f>AVERAGE('[1]MOSPI Format'!C76,'[1]MOSPI Format'!C86,'[1]MOSPI Format'!C96,'[1]MOSPI Format'!C106,'[1]MOSPI Format'!C116,'[1]MOSPI Format'!C126,'[1]MOSPI Format'!C136,'[1]MOSPI Format'!C146,'[1]MOSPI Format'!C156,'[1]MOSPI Format'!C166,'[1]MOSPI Format'!C176)</f>
        <v>213254.54545454544</v>
      </c>
      <c r="E45" s="4">
        <f>AVERAGE('[1]MOSPI Format'!D76,'[1]MOSPI Format'!D86,'[1]MOSPI Format'!D96,'[1]MOSPI Format'!D106,'[1]MOSPI Format'!D116,'[1]MOSPI Format'!D126,'[1]MOSPI Format'!D136,'[1]MOSPI Format'!D146,'[1]MOSPI Format'!D156,'[1]MOSPI Format'!D166,'[1]MOSPI Format'!D176)</f>
        <v>166409.90909090909</v>
      </c>
      <c r="F45" s="4">
        <f>AVERAGE('[1]MOSPI Format'!E76,'[1]MOSPI Format'!E86,'[1]MOSPI Format'!E96,'[1]MOSPI Format'!E106,'[1]MOSPI Format'!E116,'[1]MOSPI Format'!E126,'[1]MOSPI Format'!E136,'[1]MOSPI Format'!E146,'[1]MOSPI Format'!E156,'[1]MOSPI Format'!E166,'[1]MOSPI Format'!E176)</f>
        <v>262261.63636363635</v>
      </c>
    </row>
    <row r="46" spans="1:6" x14ac:dyDescent="0.3">
      <c r="A46" s="2" t="s">
        <v>19</v>
      </c>
      <c r="B46" t="s">
        <v>7</v>
      </c>
      <c r="C46" s="4">
        <f>AVERAGE('[1]MOSPI Format'!B77,'[1]MOSPI Format'!B87,'[1]MOSPI Format'!B97,'[1]MOSPI Format'!B107,'[1]MOSPI Format'!B117,'[1]MOSPI Format'!B127,'[1]MOSPI Format'!B137,'[1]MOSPI Format'!B147,'[1]MOSPI Format'!B157,'[1]MOSPI Format'!B167,'[1]MOSPI Format'!B177)</f>
        <v>240068.81818181818</v>
      </c>
      <c r="D46" s="4">
        <f>AVERAGE('[1]MOSPI Format'!C77,'[1]MOSPI Format'!C87,'[1]MOSPI Format'!C97,'[1]MOSPI Format'!C107,'[1]MOSPI Format'!C117,'[1]MOSPI Format'!C127,'[1]MOSPI Format'!C137,'[1]MOSPI Format'!C147,'[1]MOSPI Format'!C157,'[1]MOSPI Format'!C167,'[1]MOSPI Format'!C177)</f>
        <v>324836.18181818182</v>
      </c>
      <c r="E46" s="4">
        <f>AVERAGE('[1]MOSPI Format'!D77,'[1]MOSPI Format'!D87,'[1]MOSPI Format'!D97,'[1]MOSPI Format'!D107,'[1]MOSPI Format'!D117,'[1]MOSPI Format'!D127,'[1]MOSPI Format'!D137,'[1]MOSPI Format'!D147,'[1]MOSPI Format'!D157,'[1]MOSPI Format'!D167,'[1]MOSPI Format'!D177)</f>
        <v>361740.90909090912</v>
      </c>
      <c r="F46" s="4">
        <f>AVERAGE('[1]MOSPI Format'!E77,'[1]MOSPI Format'!E87,'[1]MOSPI Format'!E97,'[1]MOSPI Format'!E107,'[1]MOSPI Format'!E117,'[1]MOSPI Format'!E127,'[1]MOSPI Format'!E137,'[1]MOSPI Format'!E147,'[1]MOSPI Format'!E157,'[1]MOSPI Format'!E167,'[1]MOSPI Format'!E177)</f>
        <v>276973.54545454547</v>
      </c>
    </row>
    <row r="47" spans="1:6" x14ac:dyDescent="0.3">
      <c r="A47" s="2" t="s">
        <v>19</v>
      </c>
      <c r="B47" t="s">
        <v>8</v>
      </c>
      <c r="C47" s="4">
        <f>AVERAGE('[1]MOSPI Format'!B78,'[1]MOSPI Format'!B88,'[1]MOSPI Format'!B98,'[1]MOSPI Format'!B108,'[1]MOSPI Format'!B118,'[1]MOSPI Format'!B128,'[1]MOSPI Format'!B138,'[1]MOSPI Format'!B148,'[1]MOSPI Format'!B158,'[1]MOSPI Format'!B168,'[1]MOSPI Format'!B178)</f>
        <v>91559.636363636368</v>
      </c>
      <c r="D47" s="4">
        <f>AVERAGE('[1]MOSPI Format'!C78,'[1]MOSPI Format'!C88,'[1]MOSPI Format'!C98,'[1]MOSPI Format'!C108,'[1]MOSPI Format'!C118,'[1]MOSPI Format'!C128,'[1]MOSPI Format'!C138,'[1]MOSPI Format'!C148,'[1]MOSPI Format'!C158,'[1]MOSPI Format'!C168,'[1]MOSPI Format'!C178)</f>
        <v>224912.09090909091</v>
      </c>
      <c r="E47" s="4">
        <f>AVERAGE('[1]MOSPI Format'!D78,'[1]MOSPI Format'!D88,'[1]MOSPI Format'!D98,'[1]MOSPI Format'!D108,'[1]MOSPI Format'!D118,'[1]MOSPI Format'!D128,'[1]MOSPI Format'!D138,'[1]MOSPI Format'!D148,'[1]MOSPI Format'!D158,'[1]MOSPI Format'!D168,'[1]MOSPI Format'!D178)</f>
        <v>280409.63636363635</v>
      </c>
      <c r="F47" s="4">
        <f>AVERAGE('[1]MOSPI Format'!E78,'[1]MOSPI Format'!E88,'[1]MOSPI Format'!E98,'[1]MOSPI Format'!E108,'[1]MOSPI Format'!E118,'[1]MOSPI Format'!E128,'[1]MOSPI Format'!E138,'[1]MOSPI Format'!E148,'[1]MOSPI Format'!E158,'[1]MOSPI Format'!E168,'[1]MOSPI Format'!E178)</f>
        <v>147057.18181818182</v>
      </c>
    </row>
    <row r="48" spans="1:6" x14ac:dyDescent="0.3">
      <c r="A48" s="2" t="s">
        <v>19</v>
      </c>
      <c r="B48" t="s">
        <v>9</v>
      </c>
      <c r="C48" s="4">
        <f>AVERAGE('[1]MOSPI Format'!B79,'[1]MOSPI Format'!B89,'[1]MOSPI Format'!B99,'[1]MOSPI Format'!B109,'[1]MOSPI Format'!B119,'[1]MOSPI Format'!B129,'[1]MOSPI Format'!B139,'[1]MOSPI Format'!B149,'[1]MOSPI Format'!B159,'[1]MOSPI Format'!B169,'[1]MOSPI Format'!B179)</f>
        <v>141114.36363636365</v>
      </c>
      <c r="D48" s="4">
        <f>AVERAGE('[1]MOSPI Format'!C79,'[1]MOSPI Format'!C89,'[1]MOSPI Format'!C99,'[1]MOSPI Format'!C109,'[1]MOSPI Format'!C119,'[1]MOSPI Format'!C129,'[1]MOSPI Format'!C139,'[1]MOSPI Format'!C149,'[1]MOSPI Format'!C159,'[1]MOSPI Format'!C169,'[1]MOSPI Format'!C179)</f>
        <v>357464.09090909088</v>
      </c>
      <c r="E48" s="4">
        <f>AVERAGE('[1]MOSPI Format'!D79,'[1]MOSPI Format'!D89,'[1]MOSPI Format'!D99,'[1]MOSPI Format'!D109,'[1]MOSPI Format'!D119,'[1]MOSPI Format'!D129,'[1]MOSPI Format'!D139,'[1]MOSPI Format'!D149,'[1]MOSPI Format'!D159,'[1]MOSPI Format'!D169,'[1]MOSPI Format'!D179)</f>
        <v>442893.54545454547</v>
      </c>
      <c r="F48" s="4">
        <f>AVERAGE('[1]MOSPI Format'!E79,'[1]MOSPI Format'!E89,'[1]MOSPI Format'!E99,'[1]MOSPI Format'!E109,'[1]MOSPI Format'!E119,'[1]MOSPI Format'!E129,'[1]MOSPI Format'!E139,'[1]MOSPI Format'!E149,'[1]MOSPI Format'!E159,'[1]MOSPI Format'!E169,'[1]MOSPI Format'!E179)</f>
        <v>226543.81818181818</v>
      </c>
    </row>
    <row r="49" spans="1:6" x14ac:dyDescent="0.3">
      <c r="A49" s="2" t="s">
        <v>19</v>
      </c>
      <c r="B49" t="s">
        <v>10</v>
      </c>
      <c r="C49" s="4">
        <f>AVERAGE('[1]MOSPI Format'!B80,'[1]MOSPI Format'!B90,'[1]MOSPI Format'!B100,'[1]MOSPI Format'!B110,'[1]MOSPI Format'!B120,'[1]MOSPI Format'!B130,'[1]MOSPI Format'!B140,'[1]MOSPI Format'!B150,'[1]MOSPI Format'!B160,'[1]MOSPI Format'!B170,'[1]MOSPI Format'!B180)</f>
        <v>168552.18181818182</v>
      </c>
      <c r="D49" s="4">
        <f>AVERAGE('[1]MOSPI Format'!C80,'[1]MOSPI Format'!C90,'[1]MOSPI Format'!C100,'[1]MOSPI Format'!C110,'[1]MOSPI Format'!C120,'[1]MOSPI Format'!C130,'[1]MOSPI Format'!C140,'[1]MOSPI Format'!C150,'[1]MOSPI Format'!C160,'[1]MOSPI Format'!C170,'[1]MOSPI Format'!C180)</f>
        <v>371638.09090909088</v>
      </c>
      <c r="E49" s="4">
        <f>AVERAGE('[1]MOSPI Format'!D80,'[1]MOSPI Format'!D90,'[1]MOSPI Format'!D100,'[1]MOSPI Format'!D110,'[1]MOSPI Format'!D120,'[1]MOSPI Format'!D130,'[1]MOSPI Format'!D140,'[1]MOSPI Format'!D150,'[1]MOSPI Format'!D160,'[1]MOSPI Format'!D170,'[1]MOSPI Format'!D180)</f>
        <v>406128.90909090912</v>
      </c>
      <c r="F49" s="4">
        <f>AVERAGE('[1]MOSPI Format'!E80,'[1]MOSPI Format'!E90,'[1]MOSPI Format'!E100,'[1]MOSPI Format'!E110,'[1]MOSPI Format'!E120,'[1]MOSPI Format'!E130,'[1]MOSPI Format'!E140,'[1]MOSPI Format'!E150,'[1]MOSPI Format'!E160,'[1]MOSPI Format'!E170,'[1]MOSPI Format'!E180)</f>
        <v>203043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ROHITH SURYA M</dc:creator>
  <cp:lastModifiedBy>ROHITH SURYA M</cp:lastModifiedBy>
  <dcterms:created xsi:type="dcterms:W3CDTF">2015-06-05T18:17:20Z</dcterms:created>
  <dcterms:modified xsi:type="dcterms:W3CDTF">2025-05-09T17:46:29Z</dcterms:modified>
</cp:coreProperties>
</file>